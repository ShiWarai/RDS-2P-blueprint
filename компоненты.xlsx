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Yandex.Disk\Projects\small-dog\RDS-2P-blueprint\"/>
    </mc:Choice>
  </mc:AlternateContent>
  <xr:revisionPtr revIDLastSave="0" documentId="13_ncr:1_{8AB1F93F-CBA0-4382-BE57-6E3AD2CCF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нда" sheetId="2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2" l="1"/>
  <c r="F29" i="2"/>
  <c r="F30" i="2"/>
  <c r="F28" i="2"/>
  <c r="F27" i="2"/>
  <c r="F26" i="2"/>
  <c r="F25" i="2"/>
  <c r="F24" i="2"/>
  <c r="F23" i="2"/>
  <c r="F22" i="2"/>
  <c r="F21" i="2"/>
  <c r="F2" i="2" l="1"/>
  <c r="F3" i="2"/>
  <c r="F4" i="2"/>
  <c r="F20" i="2"/>
  <c r="F19" i="2"/>
  <c r="E18" i="2"/>
  <c r="F18" i="2" s="1"/>
  <c r="E17" i="2"/>
  <c r="F17" i="2" s="1"/>
  <c r="F16" i="2"/>
  <c r="F15" i="2"/>
  <c r="F14" i="2"/>
  <c r="F13" i="2"/>
  <c r="F12" i="2"/>
  <c r="F11" i="2"/>
  <c r="F10" i="2"/>
  <c r="F9" i="2"/>
  <c r="F8" i="2"/>
  <c r="F7" i="2"/>
  <c r="F6" i="2"/>
  <c r="F5" i="2"/>
  <c r="F37" i="2" l="1"/>
</calcChain>
</file>

<file path=xl/sharedStrings.xml><?xml version="1.0" encoding="utf-8"?>
<sst xmlns="http://schemas.openxmlformats.org/spreadsheetml/2006/main" count="83" uniqueCount="79">
  <si>
    <t>Наименование</t>
  </si>
  <si>
    <t>Кол-во</t>
  </si>
  <si>
    <t>Ссылка</t>
  </si>
  <si>
    <t>Цена</t>
  </si>
  <si>
    <t>Подытог</t>
  </si>
  <si>
    <r>
      <rPr>
        <sz val="11"/>
        <color rgb="FF000000"/>
        <rFont val="Calibri"/>
      </rPr>
      <t>BMS 2S 20A плата защиты с балансировкой</t>
    </r>
  </si>
  <si>
    <r>
      <rPr>
        <sz val="11"/>
        <color rgb="FF000000"/>
        <rFont val="Calibri"/>
      </rPr>
      <t>Вентилятор 5В 50x50x10</t>
    </r>
  </si>
  <si>
    <r>
      <rPr>
        <u/>
        <sz val="11"/>
        <color rgb="FF0000EE"/>
        <rFont val="Calibri"/>
      </rPr>
      <t>Гнездо питания 5.5x2.5, DC-022В с заглушкой. 1 штука купить на OZON по низкой цене (1701259441)</t>
    </r>
  </si>
  <si>
    <r>
      <rPr>
        <sz val="11"/>
        <color rgb="FF000000"/>
        <rFont val="Calibri"/>
      </rPr>
      <t>Индикатор заряда аккумулятора</t>
    </r>
  </si>
  <si>
    <r>
      <rPr>
        <u/>
        <sz val="11"/>
        <color theme="10"/>
        <rFont val="Calibri"/>
      </rPr>
      <t>https://www.ozon.ru/product/shtyrevye-odnoryadnye-razemy-na-platu-papa-pls-40-pryamye-40-pin-2-54-mm-10-shtuk-pld-razem-1046480730/?avtc=1&amp;avte=2&amp;avts=1713200981</t>
    </r>
  </si>
  <si>
    <t>Итог:</t>
  </si>
  <si>
    <t>Описание</t>
  </si>
  <si>
    <t>https://www.ozon.ru/product/bms-2s-20a-plata-zashchity-s-balansirovkoy-8-4-v-dlya-sborok-akkumulyatorov-1162983848/</t>
  </si>
  <si>
    <t>С одной из них нужно будет перенести мосфеты на другую</t>
  </si>
  <si>
    <t>Гнездо питания DC-022, 5.5x2.1</t>
  </si>
  <si>
    <t>https://www.ozon.ru/product/metallicheskiy-povorotnyy-rychag-servoprivoda-usilennyy-vintami-25t-1637096571</t>
  </si>
  <si>
    <t>https://aliexpress.ru/item/1005004629314742.html?spm=a2g2w.orderdetail.0.0.4a514aa6A36ub2&amp;sku_id=12000029896431130</t>
  </si>
  <si>
    <t>Гайки вплавляемые, M3x5x4.2, 250 штук</t>
  </si>
  <si>
    <t>Провода 24AWG (чёрные)</t>
  </si>
  <si>
    <t>Провода 24AWG (красный)</t>
  </si>
  <si>
    <t>Провода 24AWG (фиолетовый)</t>
  </si>
  <si>
    <t>Провода 12AWG (чёрный)</t>
  </si>
  <si>
    <t>Провода 12AWG (красный)</t>
  </si>
  <si>
    <t>Штыревые однорядные разъемы, 10 штук</t>
  </si>
  <si>
    <t>https://www.ozon.ru/product/kuler-50-50-10-5v-0-2a-2pin-provod-25sm-ventilyator-ohlazhdeniya-1197519312</t>
  </si>
  <si>
    <t>Макетная плата</t>
  </si>
  <si>
    <t>Провода Arduino, набор, 30 штук</t>
  </si>
  <si>
    <t>https://www.ozon.ru/product/provoda-peremychki-dupont-dlya-radiokonstruktora-10sm-nabor-3h10shtuk-dlya-arduino-raspberry-pi-1582137925</t>
  </si>
  <si>
    <t>Лучше с запасом пару штук ещё, кроме этого кол-ва купить. Также можно заказать более дешево на Aliexpress</t>
  </si>
  <si>
    <t>От 1 метра</t>
  </si>
  <si>
    <t>От 5 метров</t>
  </si>
  <si>
    <t>https://www.ozon.ru/product/provod-12awg-3-33-mm2-v-silikonovoy-izolyatsii-luzhenaya-med-1-metr-chernyy-1-metr-krasnyy-1514151393</t>
  </si>
  <si>
    <t>https://aliexpress.ru/item/1005006832687928.html</t>
  </si>
  <si>
    <t>Микрокомпьютер Orange Pi 5 Pro</t>
  </si>
  <si>
    <t>Радиатор для электроники, 10 штук</t>
  </si>
  <si>
    <t>Сервопривод Feetech SCS40 7.4v</t>
  </si>
  <si>
    <t>https://aliexpress.ru/item/1005001732588093.html?sku_id=12000021600748435&amp;spm=a2g2w.stores.seller_list.11.7bec54a4YQbWeH</t>
  </si>
  <si>
    <t>https://www.ozon.ru/product/10-shtuk-radiator-11h11h5mm-633950693</t>
  </si>
  <si>
    <t>Кнопка антивандальная</t>
  </si>
  <si>
    <t>https://www.ozon.ru/product/antivandalnaya-knopka-s-fiksatsiey-1120847177/</t>
  </si>
  <si>
    <t>https://www.ozon.ru/product/indikator-zaryada-napryazheniya-emkosti-batarei-18650-ot-1s-do-8s-siniy-1802287993</t>
  </si>
  <si>
    <t>https://www.ozon.ru/product/ponizhayushchiy-preobrazovatel-napryazheniya-dc-dc-gsmin-lm2596s-siniy-285604795</t>
  </si>
  <si>
    <t>Понижающий преобразователь LM2596S</t>
  </si>
  <si>
    <t>Аккумулятор 21700</t>
  </si>
  <si>
    <t>https://www.ozon.ru/product/ao-energiya-akkumulyatornaya-batareyka-21700-3-6-v-4500-mach-1-sht-742439310/</t>
  </si>
  <si>
    <t>Рычаг-качалка 25т для сервопривода</t>
  </si>
  <si>
    <t>https://www.ozon.ru/product/maketnaya-plata-100x100-303022593</t>
  </si>
  <si>
    <t>Разъёмы XT30U, набор, 10 шт</t>
  </si>
  <si>
    <t>https://www.ozon.ru/product/konnektor-silovoy-xt30u-m-f-razem-papa-mama-5-par-amass-1410077690</t>
  </si>
  <si>
    <t>https://www.ozon.ru/product/shteker-razem-razemy-dlya-provodov-konnektor-dlya-provodov-jst-sm2-54-sm-2p-sm-2r-papa-mama-10-par-1545309946/</t>
  </si>
  <si>
    <t>Штекеры JST SM2.54, мама-папа</t>
  </si>
  <si>
    <t>https://www.ozon.ru/product/nabor-termousadochnyh-trubok-800-shtuk-v-korobke-termousadka-1196462435</t>
  </si>
  <si>
    <t>Термоусадка, набор</t>
  </si>
  <si>
    <t>Подшипники</t>
  </si>
  <si>
    <t>Нужна для изоляции провода и является опицональной</t>
  </si>
  <si>
    <t>Сложно пока точка сказать, состав часто меняется. В основном подшипники с 6ШПЗ</t>
  </si>
  <si>
    <t>https://www.ozon.ru/product/modul-mpu-9250-mpu9250-giroskop-akselerometr-magnitometr-1003900958</t>
  </si>
  <si>
    <t>Датчик положения MPU 9250</t>
  </si>
  <si>
    <t>Пластик PLA, черный, 1 кг</t>
  </si>
  <si>
    <t>Пластик PLA, белый, 1 кг</t>
  </si>
  <si>
    <t>Пластик TPU 75A, 500 грамм</t>
  </si>
  <si>
    <t>Для печати можно выбрать любой пластик, без разницы</t>
  </si>
  <si>
    <t>Мягкий пластик для лапок</t>
  </si>
  <si>
    <t>https://www.ozon.ru/product/katushka-pla-plastika-esun-1-75-mm-1kg-chernaya-306558060</t>
  </si>
  <si>
    <t>https://www.ozon.ru/product/pla-plastik-dlya-3d-printera-filament-pla-esun-1-75-mm-1kg-holodno-belaya-306557816</t>
  </si>
  <si>
    <t>https://aliexpress.ru/item/1005002425419341.html?spm=a2g2w.orderdetail.0.0.40c04aa6XMfpZQ&amp;sku_id=12000021278492429</t>
  </si>
  <si>
    <t>https://www.ozon.ru/product/tpu-plastik-dlya-3d-printera-standard-black-1-75-mm-0-5-kg-eryone-chernyy-1035822099</t>
  </si>
  <si>
    <t>Плата управления двигателями TTL</t>
  </si>
  <si>
    <t>https://aliexpress.ru/item/1005004866712306.html?sku_id=12000030809838677&amp;spm=a2g2w.productlist.search_results.0.d15b5b95ZSQct4</t>
  </si>
  <si>
    <t>Камера Orbbec Astra Pro</t>
  </si>
  <si>
    <t>Капсуль микрофона</t>
  </si>
  <si>
    <t>Динамик 2W</t>
  </si>
  <si>
    <t>Усилитель звука 2W</t>
  </si>
  <si>
    <t>https://www.ozon.ru/product/usilitel-zvuka-d-klassa-na-mikrosheme-pam8302-1664428311/</t>
  </si>
  <si>
    <t>AUX разъем</t>
  </si>
  <si>
    <t>https://www.ozon.ru/product/razem-audio-jack-stereo-shteker-jack-3-5-mm-4-kontakta-metallicheskiy-korpus-na-kabel-pod-1277486516/</t>
  </si>
  <si>
    <t>Опционально!</t>
  </si>
  <si>
    <t>Дисплей IPS 1.69''</t>
  </si>
  <si>
    <t>https://ali.click/w4xao11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</si>
</sst>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[$₽-419];\-#,##0.0[$₽-419]"/>
  </numFmts>
  <fonts count="13">
    <font>
      <sz val="11"/>
      <name val="Calibri"/>
    </font>
    <font>
      <sz val="12"/>
      <name val="XO Thames"/>
    </font>
    <font>
      <sz val="11"/>
      <color rgb="FF00610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rgb="FF0000EE"/>
      <name val="Calibri"/>
    </font>
    <font>
      <sz val="11"/>
      <name val="XO Thames"/>
    </font>
    <font>
      <sz val="11"/>
      <color theme="1"/>
      <name val="XO Thames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6100"/>
      <name val="Calibri"/>
      <family val="2"/>
      <charset val="204"/>
    </font>
    <font>
      <u/>
      <sz val="11"/>
      <color rgb="FF0000EE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 diagonalUp="1" diagonalDown="1"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 diagonalUp="1" diagonalDown="1"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 diagonalUp="1" diagonalDown="1"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 diagonalUp="1" diagonalDown="1"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 diagonalUp="1" diagonalDown="1">
      <left style="thick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thick">
        <color rgb="FF000000"/>
      </left>
      <right style="medium">
        <color rgb="FF000000"/>
      </right>
      <top/>
      <bottom/>
      <diagonal/>
    </border>
    <border diagonalUp="1" diagonalDown="1">
      <left style="thick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thick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 diagonalUp="1" diagonalDown="1"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 diagonalUp="1" diagonalDown="1"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ck">
        <color rgb="FF000000"/>
      </left>
      <right style="medium">
        <color rgb="FF000000"/>
      </right>
      <top/>
      <bottom/>
      <diagonal/>
    </border>
    <border diagonalUp="1" diagonalDown="1"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2">
    <xf numFmtId="0" fontId="0" fillId="0" borderId="0" applyFill="0" applyBorder="0"/>
    <xf numFmtId="0" fontId="5" fillId="0" borderId="0" applyNumberFormat="0" applyFill="0" applyBorder="0" applyAlignment="0" applyProtection="0"/>
  </cellStyleXfs>
  <cellXfs count="53"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5" xfId="0" applyFont="1" applyBorder="1"/>
    <xf numFmtId="164" fontId="3" fillId="0" borderId="7" xfId="0" applyNumberFormat="1" applyFont="1" applyBorder="1" applyAlignment="1">
      <alignment horizontal="right"/>
    </xf>
    <xf numFmtId="0" fontId="3" fillId="0" borderId="9" xfId="0" applyFont="1" applyBorder="1"/>
    <xf numFmtId="0" fontId="6" fillId="0" borderId="10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 wrapText="1"/>
    </xf>
    <xf numFmtId="0" fontId="7" fillId="0" borderId="16" xfId="0" applyFont="1" applyBorder="1"/>
    <xf numFmtId="49" fontId="6" fillId="0" borderId="17" xfId="0" applyNumberFormat="1" applyFont="1" applyBorder="1" applyAlignment="1">
      <alignment vertical="center"/>
    </xf>
    <xf numFmtId="0" fontId="8" fillId="0" borderId="18" xfId="0" applyFont="1" applyBorder="1"/>
    <xf numFmtId="0" fontId="7" fillId="0" borderId="22" xfId="0" applyFont="1" applyBorder="1"/>
    <xf numFmtId="0" fontId="7" fillId="0" borderId="29" xfId="0" applyFont="1" applyBorder="1"/>
    <xf numFmtId="0" fontId="11" fillId="2" borderId="2" xfId="0" applyFont="1" applyFill="1" applyBorder="1" applyAlignment="1">
      <alignment horizontal="center"/>
    </xf>
    <xf numFmtId="0" fontId="3" fillId="0" borderId="6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9" fillId="0" borderId="29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12" fillId="0" borderId="10" xfId="0" applyFont="1" applyBorder="1" applyAlignment="1">
      <alignment vertical="center"/>
    </xf>
    <xf numFmtId="0" fontId="5" fillId="0" borderId="10" xfId="1" applyNumberFormat="1" applyBorder="1" applyAlignment="1">
      <alignment vertical="center"/>
    </xf>
    <xf numFmtId="0" fontId="5" fillId="0" borderId="10" xfId="1" applyNumberForma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horizontal="left" vertical="center" wrapText="1"/>
    </xf>
    <xf numFmtId="0" fontId="5" fillId="0" borderId="19" xfId="1" applyNumberFormat="1" applyBorder="1" applyAlignment="1">
      <alignment horizontal="left" vertical="center"/>
    </xf>
    <xf numFmtId="49" fontId="5" fillId="0" borderId="20" xfId="0" applyNumberFormat="1" applyFont="1" applyBorder="1"/>
    <xf numFmtId="49" fontId="5" fillId="0" borderId="23" xfId="0" applyNumberFormat="1" applyFont="1" applyBorder="1"/>
    <xf numFmtId="0" fontId="10" fillId="4" borderId="15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10" fillId="4" borderId="28" xfId="0" applyFont="1" applyFill="1" applyBorder="1" applyAlignment="1">
      <alignment horizontal="left" vertical="center" wrapText="1"/>
    </xf>
    <xf numFmtId="164" fontId="3" fillId="0" borderId="25" xfId="0" applyNumberFormat="1" applyFont="1" applyBorder="1" applyAlignment="1">
      <alignment horizontal="right"/>
    </xf>
    <xf numFmtId="0" fontId="3" fillId="6" borderId="11" xfId="0" applyFont="1" applyFill="1" applyBorder="1"/>
    <xf numFmtId="0" fontId="9" fillId="6" borderId="11" xfId="0" applyFont="1" applyFill="1" applyBorder="1"/>
    <xf numFmtId="0" fontId="9" fillId="6" borderId="9" xfId="0" applyFont="1" applyFill="1" applyBorder="1"/>
    <xf numFmtId="0" fontId="9" fillId="6" borderId="18" xfId="0" applyFont="1" applyFill="1" applyBorder="1"/>
    <xf numFmtId="0" fontId="9" fillId="6" borderId="29" xfId="0" applyFont="1" applyFill="1" applyBorder="1"/>
    <xf numFmtId="0" fontId="5" fillId="0" borderId="26" xfId="1" applyNumberFormat="1" applyBorder="1" applyAlignment="1">
      <alignment horizontal="left" vertical="center"/>
    </xf>
    <xf numFmtId="164" fontId="1" fillId="0" borderId="0" xfId="0" applyNumberFormat="1" applyFont="1"/>
    <xf numFmtId="49" fontId="5" fillId="0" borderId="14" xfId="1" applyNumberFormat="1" applyBorder="1" applyAlignment="1"/>
    <xf numFmtId="0" fontId="10" fillId="4" borderId="30" xfId="0" applyFont="1" applyFill="1" applyBorder="1" applyAlignment="1">
      <alignment horizontal="left" vertical="center" wrapText="1"/>
    </xf>
    <xf numFmtId="0" fontId="5" fillId="0" borderId="18" xfId="1" applyNumberFormat="1" applyBorder="1" applyAlignment="1"/>
    <xf numFmtId="0" fontId="5" fillId="0" borderId="29" xfId="1" applyNumberFormat="1" applyBorder="1" applyAlignment="1"/>
    <xf numFmtId="0" fontId="3" fillId="6" borderId="27" xfId="0" applyFont="1" applyFill="1" applyBorder="1"/>
    <xf numFmtId="0" fontId="9" fillId="7" borderId="29" xfId="0" applyFont="1" applyFill="1" applyBorder="1"/>
    <xf numFmtId="0" fontId="9" fillId="7" borderId="24" xfId="0" applyFont="1" applyFill="1" applyBorder="1"/>
    <xf numFmtId="0" fontId="7" fillId="0" borderId="30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iexpress.ru/item/1005004629314742.html?spm=a2g2w.orderdetail.0.0.4a514aa6A36ub2&amp;sku_id=12000029896431130" TargetMode="External"/><Relationship Id="rId13" Type="http://schemas.openxmlformats.org/officeDocument/2006/relationships/hyperlink" Target="https://www.ozon.ru/product/konnektor-silovoy-xt30u-m-f-razem-papa-mama-5-par-amass-1410077690" TargetMode="External"/><Relationship Id="rId18" Type="http://schemas.openxmlformats.org/officeDocument/2006/relationships/hyperlink" Target="https://www.ozon.ru/product/razem-audio-jack-stereo-shteker-jack-3-5-mm-4-kontakta-metallicheskiy-korpus-na-kabel-pod-1277486516/" TargetMode="External"/><Relationship Id="rId3" Type="http://schemas.openxmlformats.org/officeDocument/2006/relationships/hyperlink" Target="https://www.ozon.ru/product/10-shtuk-radiator-11h11h5mm-633950693" TargetMode="External"/><Relationship Id="rId7" Type="http://schemas.openxmlformats.org/officeDocument/2006/relationships/hyperlink" Target="https://www.ozon.ru/product/bms-2s-20a-plata-zashchity-s-balansirovkoy-8-4-v-dlya-sborok-akkumulyatorov-1162983848/" TargetMode="External"/><Relationship Id="rId12" Type="http://schemas.openxmlformats.org/officeDocument/2006/relationships/hyperlink" Target="https://www.ozon.ru/product/ao-energiya-akkumulyatornaya-batareyka-21700-3-6-v-4500-mach-1-sht-742439310/" TargetMode="External"/><Relationship Id="rId17" Type="http://schemas.openxmlformats.org/officeDocument/2006/relationships/hyperlink" Target="https://www.ozon.ru/product/tpu-plastik-dlya-3d-printera-standard-black-1-75-mm-0-5-kg-eryone-chernyy-1035822099" TargetMode="External"/><Relationship Id="rId2" Type="http://schemas.openxmlformats.org/officeDocument/2006/relationships/hyperlink" Target="https://aliexpress.ru/item/1005001732588093.html?sku_id=12000021600748435&amp;spm=a2g2w.stores.seller_list.11.7bec54a4YQbWeH" TargetMode="External"/><Relationship Id="rId16" Type="http://schemas.openxmlformats.org/officeDocument/2006/relationships/hyperlink" Target="https://aliexpress.ru/item/1005002425419341.html?spm=a2g2w.orderdetail.0.0.40c04aa6XMfpZQ&amp;sku_id=12000021278492429" TargetMode="External"/><Relationship Id="rId1" Type="http://schemas.openxmlformats.org/officeDocument/2006/relationships/hyperlink" Target="https://aliexpress.ru/item/1005006832687928.html" TargetMode="External"/><Relationship Id="rId6" Type="http://schemas.openxmlformats.org/officeDocument/2006/relationships/hyperlink" Target="https://www.ozon.ru/product/antivandalnaya-knopka-s-fiksatsiey-1120847177/" TargetMode="External"/><Relationship Id="rId11" Type="http://schemas.openxmlformats.org/officeDocument/2006/relationships/hyperlink" Target="https://www.ozon.ru/product/provod-12awg-3-33-mm2-v-silikonovoy-izolyatsii-luzhenaya-med-1-metr-chernyy-1-metr-krasnyy-1514151393" TargetMode="External"/><Relationship Id="rId5" Type="http://schemas.openxmlformats.org/officeDocument/2006/relationships/hyperlink" Target="https://www.ozon.ru/product/shtyrevye-odnoryadnye-razemy-na-platu-papa-pls-40-pryamye-40-pin-2-54-mm-10-shtuk-pld-razem-1046480730/?avtc=1&amp;avte=2&amp;avts=1713200981" TargetMode="External"/><Relationship Id="rId15" Type="http://schemas.openxmlformats.org/officeDocument/2006/relationships/hyperlink" Target="https://www.ozon.ru/product/modul-mpu-9250-mpu9250-giroskop-akselerometr-magnitometr-1003900958" TargetMode="External"/><Relationship Id="rId10" Type="http://schemas.openxmlformats.org/officeDocument/2006/relationships/hyperlink" Target="https://www.ozon.ru/product/provod-12awg-3-33-mm2-v-silikonovoy-izolyatsii-luzhenaya-med-1-metr-chernyy-1-metr-krasnyy-1514151393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ozon.ru/product/gnezdo-pitaniya-5-5x2-5-dc-022v-s-zaglushkoy-1-shtuka-1701259441/?advert=ADcBTnXdaQXw4RK3A2GlXU-zan0FLHFEiCnxkIZwBV0PzIWMgC3cq_V0D56s6vRGcM7Tl1M5OHI76E_BwPdtwov6Fl74pUfzzsl4LjvfOmNtpujGoujqbGrjwjr0oVQShnydsO9YQltpzWLEOD0zBrOHDQC1xxh1ulA8gBxi1p8h35rVLebQnEfsldmByMX5TWX9m4wzogKecjPWobxRp9LarSkFh8QswO3H4n--Kxdh-zhOSQTy1di2HGTS1fcrhObeSeIpJaf65w9UALcNpUuA3QXhiFwZPbEbqznHI7VgWrGKTHTfzg0L4xW-9CUleOvUvWLJBP7rKsWoedoly3oICMSkE3QPgcZC1R7RrqTm0f21pfI2tdhRP-uHVXq2eVq_rX1BrqWbqBbc4W6sjfHXoJYCVj8j9wp4tlJJsBKPLhWaAIqoUFERFbk3_oco85G4qs_z7klYSidTz92Vs5lW7UlMO_l0wpyjzZPjHIN3tuQBiNTxOCoOBEaKcA0bQuYJq4nO76Pc2g&amp;avtc=1&amp;avte=4&amp;avts=1737730534&amp;keywords=%D0%93%D0%BD%D0%B5%D0%B7%D0%B4%D0%BE+%D0%BF%D0%B8%D1%82%D0%B0%D0%BD%D0%B8%D1%8F+DC-022" TargetMode="External"/><Relationship Id="rId9" Type="http://schemas.openxmlformats.org/officeDocument/2006/relationships/hyperlink" Target="https://www.ozon.ru/product/provoda-peremychki-dupont-dlya-radiokonstruktora-10sm-nabor-3h10shtuk-dlya-arduino-raspberry-pi-1582137925" TargetMode="External"/><Relationship Id="rId14" Type="http://schemas.openxmlformats.org/officeDocument/2006/relationships/hyperlink" Target="https://www.ozon.ru/product/shteker-razem-razemy-dlya-provodov-konnektor-dlya-provodov-jst-sm2-54-sm-2p-sm-2r-papa-mama-10-par-154530994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topLeftCell="A12" workbookViewId="0">
      <selection activeCell="L31" sqref="L31"/>
    </sheetView>
  </sheetViews>
  <sheetFormatPr defaultColWidth="10.7109375" defaultRowHeight="15"/>
  <cols>
    <col min="1" max="1" width="33.28515625" customWidth="1"/>
    <col min="2" max="2" width="6.85546875" customWidth="1"/>
    <col min="3" max="3" width="41.28515625" customWidth="1"/>
    <col min="4" max="4" width="55.85546875" customWidth="1"/>
    <col min="5" max="5" width="6.7109375" bestFit="1" customWidth="1"/>
    <col min="6" max="6" width="12.7109375" bestFit="1" customWidth="1"/>
  </cols>
  <sheetData>
    <row r="1" spans="1:6" ht="16.5" thickBot="1">
      <c r="A1" s="1" t="s">
        <v>0</v>
      </c>
      <c r="B1" s="2" t="s">
        <v>1</v>
      </c>
      <c r="C1" s="15" t="s">
        <v>11</v>
      </c>
      <c r="D1" s="2" t="s">
        <v>2</v>
      </c>
      <c r="E1" s="2" t="s">
        <v>3</v>
      </c>
      <c r="F1" s="3" t="s">
        <v>4</v>
      </c>
    </row>
    <row r="2" spans="1:6" ht="17.25" thickTop="1" thickBot="1">
      <c r="A2" s="23" t="s">
        <v>33</v>
      </c>
      <c r="B2" s="4">
        <v>1</v>
      </c>
      <c r="C2" s="16"/>
      <c r="D2" s="41" t="s">
        <v>32</v>
      </c>
      <c r="E2" s="47">
        <v>16755</v>
      </c>
      <c r="F2" s="5">
        <f t="shared" ref="F2:F4" si="0">B2*E2</f>
        <v>16755</v>
      </c>
    </row>
    <row r="3" spans="1:6" ht="31.5" thickTop="1" thickBot="1">
      <c r="A3" s="24" t="s">
        <v>34</v>
      </c>
      <c r="B3" s="6">
        <v>1</v>
      </c>
      <c r="C3" s="17"/>
      <c r="D3" s="21" t="s">
        <v>37</v>
      </c>
      <c r="E3" s="36">
        <v>403</v>
      </c>
      <c r="F3" s="5">
        <f t="shared" si="0"/>
        <v>403</v>
      </c>
    </row>
    <row r="4" spans="1:6" ht="46.5" thickTop="1" thickBot="1">
      <c r="A4" s="25" t="s">
        <v>35</v>
      </c>
      <c r="B4" s="6">
        <v>12</v>
      </c>
      <c r="C4" s="18" t="s">
        <v>28</v>
      </c>
      <c r="D4" s="21" t="s">
        <v>36</v>
      </c>
      <c r="E4" s="36">
        <v>6000</v>
      </c>
      <c r="F4" s="5">
        <f t="shared" si="0"/>
        <v>72000</v>
      </c>
    </row>
    <row r="5" spans="1:6" ht="17.25" thickTop="1" thickBot="1">
      <c r="A5" s="26" t="s">
        <v>43</v>
      </c>
      <c r="B5" s="6">
        <v>6</v>
      </c>
      <c r="C5" s="17"/>
      <c r="D5" s="22" t="s">
        <v>44</v>
      </c>
      <c r="E5" s="38">
        <v>336</v>
      </c>
      <c r="F5" s="5">
        <f t="shared" ref="F5:F18" si="1">B5*E5</f>
        <v>2016</v>
      </c>
    </row>
    <row r="6" spans="1:6" ht="31.5" thickTop="1" thickBot="1">
      <c r="A6" s="27" t="s">
        <v>5</v>
      </c>
      <c r="B6" s="6">
        <v>2</v>
      </c>
      <c r="C6" s="18" t="s">
        <v>13</v>
      </c>
      <c r="D6" s="22" t="s">
        <v>12</v>
      </c>
      <c r="E6" s="37">
        <v>251</v>
      </c>
      <c r="F6" s="5">
        <f t="shared" si="1"/>
        <v>502</v>
      </c>
    </row>
    <row r="7" spans="1:6" ht="17.25" thickTop="1" thickBot="1">
      <c r="A7" s="26" t="s">
        <v>38</v>
      </c>
      <c r="B7" s="6">
        <v>1</v>
      </c>
      <c r="C7" s="17"/>
      <c r="D7" s="43" t="s">
        <v>39</v>
      </c>
      <c r="E7" s="37">
        <v>406</v>
      </c>
      <c r="F7" s="5">
        <f t="shared" si="1"/>
        <v>406</v>
      </c>
    </row>
    <row r="8" spans="1:6" ht="17.25" thickTop="1" thickBot="1">
      <c r="A8" s="9" t="s">
        <v>6</v>
      </c>
      <c r="B8" s="10">
        <v>1</v>
      </c>
      <c r="C8" s="19"/>
      <c r="D8" s="11" t="s">
        <v>24</v>
      </c>
      <c r="E8" s="39">
        <v>308</v>
      </c>
      <c r="F8" s="5">
        <f t="shared" si="1"/>
        <v>308</v>
      </c>
    </row>
    <row r="9" spans="1:6" ht="31.5" thickTop="1" thickBot="1">
      <c r="A9" s="25" t="s">
        <v>42</v>
      </c>
      <c r="B9" s="6">
        <v>1</v>
      </c>
      <c r="C9" s="17"/>
      <c r="D9" s="20" t="s">
        <v>41</v>
      </c>
      <c r="E9" s="37">
        <v>185</v>
      </c>
      <c r="F9" s="5">
        <f t="shared" si="1"/>
        <v>185</v>
      </c>
    </row>
    <row r="10" spans="1:6" ht="17.25" thickTop="1" thickBot="1">
      <c r="A10" s="25" t="s">
        <v>14</v>
      </c>
      <c r="B10" s="6">
        <v>1</v>
      </c>
      <c r="C10" s="17"/>
      <c r="D10" s="7" t="s">
        <v>7</v>
      </c>
      <c r="E10" s="37">
        <v>171</v>
      </c>
      <c r="F10" s="5">
        <f t="shared" si="1"/>
        <v>171</v>
      </c>
    </row>
    <row r="11" spans="1:6" ht="17.25" thickTop="1" thickBot="1">
      <c r="A11" s="24" t="s">
        <v>8</v>
      </c>
      <c r="B11" s="6">
        <v>1</v>
      </c>
      <c r="C11" s="17"/>
      <c r="D11" s="7" t="s">
        <v>40</v>
      </c>
      <c r="E11" s="37">
        <v>266</v>
      </c>
      <c r="F11" s="5">
        <f t="shared" si="1"/>
        <v>266</v>
      </c>
    </row>
    <row r="12" spans="1:6" ht="31.5" thickTop="1" thickBot="1">
      <c r="A12" s="24" t="s">
        <v>45</v>
      </c>
      <c r="B12" s="6">
        <v>12</v>
      </c>
      <c r="C12" s="17"/>
      <c r="D12" s="8" t="s">
        <v>15</v>
      </c>
      <c r="E12" s="38">
        <v>150</v>
      </c>
      <c r="F12" s="5">
        <f t="shared" si="1"/>
        <v>1800</v>
      </c>
    </row>
    <row r="13" spans="1:6" ht="31.5" thickTop="1" thickBot="1">
      <c r="A13" s="28" t="s">
        <v>17</v>
      </c>
      <c r="B13" s="6">
        <v>1</v>
      </c>
      <c r="C13" s="17"/>
      <c r="D13" s="29" t="s">
        <v>16</v>
      </c>
      <c r="E13" s="38">
        <v>504</v>
      </c>
      <c r="F13" s="5">
        <f t="shared" si="1"/>
        <v>504</v>
      </c>
    </row>
    <row r="14" spans="1:6" ht="17.25" thickTop="1" thickBot="1">
      <c r="A14" s="32" t="s">
        <v>18</v>
      </c>
      <c r="B14" s="10">
        <v>1</v>
      </c>
      <c r="C14" s="19" t="s">
        <v>30</v>
      </c>
      <c r="D14" s="12"/>
      <c r="E14" s="39">
        <v>260</v>
      </c>
      <c r="F14" s="5">
        <f t="shared" si="1"/>
        <v>260</v>
      </c>
    </row>
    <row r="15" spans="1:6" ht="17.25" thickTop="1" thickBot="1">
      <c r="A15" s="32" t="s">
        <v>19</v>
      </c>
      <c r="B15" s="10">
        <v>1</v>
      </c>
      <c r="C15" s="19" t="s">
        <v>30</v>
      </c>
      <c r="D15" s="12"/>
      <c r="E15" s="39">
        <v>260</v>
      </c>
      <c r="F15" s="5">
        <f t="shared" si="1"/>
        <v>260</v>
      </c>
    </row>
    <row r="16" spans="1:6" ht="17.25" thickTop="1" thickBot="1">
      <c r="A16" s="32" t="s">
        <v>20</v>
      </c>
      <c r="B16" s="10">
        <v>1</v>
      </c>
      <c r="C16" s="19" t="s">
        <v>30</v>
      </c>
      <c r="D16" s="12"/>
      <c r="E16" s="39">
        <v>260</v>
      </c>
      <c r="F16" s="5">
        <f t="shared" si="1"/>
        <v>260</v>
      </c>
    </row>
    <row r="17" spans="1:6" ht="17.25" thickTop="1" thickBot="1">
      <c r="A17" s="32" t="s">
        <v>21</v>
      </c>
      <c r="B17" s="10">
        <v>1</v>
      </c>
      <c r="C17" s="19" t="s">
        <v>29</v>
      </c>
      <c r="D17" s="45" t="s">
        <v>31</v>
      </c>
      <c r="E17" s="39">
        <f>456/2</f>
        <v>228</v>
      </c>
      <c r="F17" s="5">
        <f t="shared" si="1"/>
        <v>228</v>
      </c>
    </row>
    <row r="18" spans="1:6" ht="17.25" thickTop="1" thickBot="1">
      <c r="A18" s="32" t="s">
        <v>22</v>
      </c>
      <c r="B18" s="10">
        <v>1</v>
      </c>
      <c r="C18" s="19" t="s">
        <v>29</v>
      </c>
      <c r="D18" s="45" t="s">
        <v>31</v>
      </c>
      <c r="E18" s="39">
        <f>456/2</f>
        <v>228</v>
      </c>
      <c r="F18" s="5">
        <f t="shared" si="1"/>
        <v>228</v>
      </c>
    </row>
    <row r="19" spans="1:6" ht="17.25" thickTop="1" thickBot="1">
      <c r="A19" s="34" t="s">
        <v>25</v>
      </c>
      <c r="B19" s="14">
        <v>2</v>
      </c>
      <c r="C19" s="19"/>
      <c r="D19" s="46" t="s">
        <v>46</v>
      </c>
      <c r="E19" s="40">
        <v>195</v>
      </c>
      <c r="F19" s="35">
        <f t="shared" ref="F19:F20" si="2">B19*E19</f>
        <v>390</v>
      </c>
    </row>
    <row r="20" spans="1:6" ht="17.25" thickTop="1" thickBot="1">
      <c r="A20" s="34" t="s">
        <v>26</v>
      </c>
      <c r="B20" s="14">
        <v>2</v>
      </c>
      <c r="C20" s="19"/>
      <c r="D20" s="46" t="s">
        <v>27</v>
      </c>
      <c r="E20" s="40">
        <v>185</v>
      </c>
      <c r="F20" s="35">
        <f t="shared" si="2"/>
        <v>370</v>
      </c>
    </row>
    <row r="21" spans="1:6" ht="31.5" thickTop="1" thickBot="1">
      <c r="A21" s="32" t="s">
        <v>23</v>
      </c>
      <c r="B21" s="10">
        <v>1</v>
      </c>
      <c r="C21" s="19"/>
      <c r="D21" s="30" t="s">
        <v>9</v>
      </c>
      <c r="E21" s="39">
        <v>338</v>
      </c>
      <c r="F21" s="5">
        <f t="shared" ref="F21:F28" si="3">B21*E21</f>
        <v>338</v>
      </c>
    </row>
    <row r="22" spans="1:6" ht="17.25" thickTop="1" thickBot="1">
      <c r="A22" s="44" t="s">
        <v>47</v>
      </c>
      <c r="B22" s="14">
        <v>3</v>
      </c>
      <c r="C22" s="19"/>
      <c r="D22" s="46" t="s">
        <v>48</v>
      </c>
      <c r="E22" s="40">
        <v>424</v>
      </c>
      <c r="F22" s="35">
        <f t="shared" si="3"/>
        <v>1272</v>
      </c>
    </row>
    <row r="23" spans="1:6" ht="17.25" thickTop="1" thickBot="1">
      <c r="A23" s="34" t="s">
        <v>50</v>
      </c>
      <c r="B23" s="14">
        <v>1</v>
      </c>
      <c r="C23" s="19"/>
      <c r="D23" s="46" t="s">
        <v>49</v>
      </c>
      <c r="E23" s="40">
        <v>394</v>
      </c>
      <c r="F23" s="35">
        <f t="shared" si="3"/>
        <v>394</v>
      </c>
    </row>
    <row r="24" spans="1:6" ht="30.75" thickTop="1" thickBot="1">
      <c r="A24" s="34" t="s">
        <v>52</v>
      </c>
      <c r="B24" s="14">
        <v>1</v>
      </c>
      <c r="C24" s="19" t="s">
        <v>54</v>
      </c>
      <c r="D24" s="46" t="s">
        <v>51</v>
      </c>
      <c r="E24" s="40">
        <v>467</v>
      </c>
      <c r="F24" s="35">
        <f t="shared" si="3"/>
        <v>467</v>
      </c>
    </row>
    <row r="25" spans="1:6" ht="45" thickTop="1" thickBot="1">
      <c r="A25" s="34" t="s">
        <v>53</v>
      </c>
      <c r="B25" s="14">
        <v>1</v>
      </c>
      <c r="C25" s="19" t="s">
        <v>55</v>
      </c>
      <c r="D25" s="46"/>
      <c r="E25" s="40">
        <v>3000</v>
      </c>
      <c r="F25" s="35">
        <f t="shared" si="3"/>
        <v>3000</v>
      </c>
    </row>
    <row r="26" spans="1:6" ht="17.25" thickTop="1" thickBot="1">
      <c r="A26" s="34" t="s">
        <v>57</v>
      </c>
      <c r="B26" s="14">
        <v>1</v>
      </c>
      <c r="C26" s="19"/>
      <c r="D26" s="46" t="s">
        <v>56</v>
      </c>
      <c r="E26" s="40">
        <v>934</v>
      </c>
      <c r="F26" s="35">
        <f t="shared" si="3"/>
        <v>934</v>
      </c>
    </row>
    <row r="27" spans="1:6" ht="17.25" thickTop="1" thickBot="1">
      <c r="A27" s="34" t="s">
        <v>58</v>
      </c>
      <c r="B27" s="14">
        <v>2</v>
      </c>
      <c r="C27" s="50" t="s">
        <v>61</v>
      </c>
      <c r="D27" s="46" t="s">
        <v>63</v>
      </c>
      <c r="E27" s="40">
        <v>1845</v>
      </c>
      <c r="F27" s="35">
        <f t="shared" si="3"/>
        <v>3690</v>
      </c>
    </row>
    <row r="28" spans="1:6" ht="17.25" thickTop="1" thickBot="1">
      <c r="A28" s="34" t="s">
        <v>59</v>
      </c>
      <c r="B28" s="14">
        <v>2</v>
      </c>
      <c r="C28" s="50"/>
      <c r="D28" s="46" t="s">
        <v>64</v>
      </c>
      <c r="E28" s="40">
        <v>1849</v>
      </c>
      <c r="F28" s="35">
        <f t="shared" si="3"/>
        <v>3698</v>
      </c>
    </row>
    <row r="29" spans="1:6" ht="17.25" thickTop="1" thickBot="1">
      <c r="A29" s="34" t="s">
        <v>60</v>
      </c>
      <c r="B29" s="14">
        <v>1</v>
      </c>
      <c r="C29" s="19" t="s">
        <v>62</v>
      </c>
      <c r="D29" s="46" t="s">
        <v>66</v>
      </c>
      <c r="E29" s="40">
        <v>1962</v>
      </c>
      <c r="F29" s="35">
        <f t="shared" ref="F29:F30" si="4">B29*E29</f>
        <v>1962</v>
      </c>
    </row>
    <row r="30" spans="1:6" ht="31.5" thickTop="1" thickBot="1">
      <c r="A30" s="34" t="s">
        <v>67</v>
      </c>
      <c r="B30" s="14">
        <v>1</v>
      </c>
      <c r="C30" s="19"/>
      <c r="D30" s="46" t="s">
        <v>65</v>
      </c>
      <c r="E30" s="40">
        <v>784</v>
      </c>
      <c r="F30" s="35">
        <f t="shared" si="4"/>
        <v>784</v>
      </c>
    </row>
    <row r="31" spans="1:6" ht="17.25" thickTop="1" thickBot="1">
      <c r="A31" s="34" t="s">
        <v>69</v>
      </c>
      <c r="B31" s="14">
        <v>1</v>
      </c>
      <c r="C31" s="51" t="s">
        <v>76</v>
      </c>
      <c r="D31" s="46" t="s">
        <v>68</v>
      </c>
      <c r="E31" s="48">
        <v>5193</v>
      </c>
      <c r="F31" s="35"/>
    </row>
    <row r="32" spans="1:6" ht="17.25" thickTop="1" thickBot="1">
      <c r="A32" s="34" t="s">
        <v>70</v>
      </c>
      <c r="B32" s="14">
        <v>1</v>
      </c>
      <c r="C32" s="51"/>
      <c r="D32" s="46"/>
      <c r="E32" s="48">
        <v>120</v>
      </c>
      <c r="F32" s="35"/>
    </row>
    <row r="33" spans="1:6" ht="17.25" thickTop="1" thickBot="1">
      <c r="A33" s="34" t="s">
        <v>74</v>
      </c>
      <c r="B33" s="14">
        <v>1</v>
      </c>
      <c r="C33" s="51"/>
      <c r="D33" s="46" t="s">
        <v>75</v>
      </c>
      <c r="E33" s="48">
        <v>207</v>
      </c>
      <c r="F33" s="35"/>
    </row>
    <row r="34" spans="1:6" ht="17.25" thickTop="1" thickBot="1">
      <c r="A34" s="34" t="s">
        <v>71</v>
      </c>
      <c r="B34" s="14">
        <v>1</v>
      </c>
      <c r="C34" s="51"/>
      <c r="D34" s="46"/>
      <c r="E34" s="48">
        <v>200</v>
      </c>
      <c r="F34" s="35"/>
    </row>
    <row r="35" spans="1:6" ht="17.25" thickTop="1" thickBot="1">
      <c r="A35" s="34" t="s">
        <v>72</v>
      </c>
      <c r="B35" s="14"/>
      <c r="C35" s="51"/>
      <c r="D35" s="31" t="s">
        <v>73</v>
      </c>
      <c r="E35" s="49">
        <v>251</v>
      </c>
      <c r="F35" s="35"/>
    </row>
    <row r="36" spans="1:6" ht="17.25" thickTop="1" thickBot="1">
      <c r="A36" s="33" t="s">
        <v>77</v>
      </c>
      <c r="B36" s="13">
        <v>1</v>
      </c>
      <c r="C36" s="52"/>
      <c r="D36" s="31" t="s">
        <v>78</v>
      </c>
      <c r="E36" s="49">
        <f>269+89</f>
        <v>358</v>
      </c>
      <c r="F36" s="5"/>
    </row>
    <row r="37" spans="1:6" ht="15.75" thickTop="1">
      <c r="E37" t="s">
        <v>10</v>
      </c>
      <c r="F37" s="42">
        <f>SUM(F2:F36)</f>
        <v>113851</v>
      </c>
    </row>
  </sheetData>
  <mergeCells count="2">
    <mergeCell ref="C27:C28"/>
    <mergeCell ref="C31:C36"/>
  </mergeCells>
  <hyperlinks>
    <hyperlink ref="D2" r:id="rId1" xr:uid="{E8E6A088-3663-4BBA-96B2-C577F265BF6E}"/>
    <hyperlink ref="D4" r:id="rId2" xr:uid="{07BA7581-97F7-48B0-904B-9F836F05D012}"/>
    <hyperlink ref="D3" r:id="rId3" xr:uid="{F85B4BEE-4A5A-4D70-810A-7C8F31B3B500}"/>
    <hyperlink ref="D10" r:id="rId4" display="https://www.ozon.ru/product/gnezdo-pitaniya-5-5x2-5-dc-022v-s-zaglushkoy-1-shtuka-1701259441/?advert=ADcBTnXdaQXw4RK3A2GlXU-zan0FLHFEiCnxkIZwBV0PzIWMgC3cq_V0D56s6vRGcM7Tl1M5OHI76E_BwPdtwov6Fl74pUfzzsl4LjvfOmNtpujGoujqbGrjwjr0oVQShnydsO9YQltpzWLEOD0zBrOHDQC1xxh1ulA8gBxi1p8h35rVLebQnEfsldmByMX5TWX9m4wzogKecjPWobxRp9LarSkFh8QswO3H4n--Kxdh-zhOSQTy1di2HGTS1fcrhObeSeIpJaf65w9UALcNpUuA3QXhiFwZPbEbqznHI7VgWrGKTHTfzg0L4xW-9CUleOvUvWLJBP7rKsWoedoly3oICMSkE3QPgcZC1R7RrqTm0f21pfI2tdhRP-uHVXq2eVq_rX1BrqWbqBbc4W6sjfHXoJYCVj8j9wp4tlJJsBKPLhWaAIqoUFERFbk3_oco85G4qs_z7klYSidTz92Vs5lW7UlMO_l0wpyjzZPjHIN3tuQBiNTxOCoOBEaKcA0bQuYJq4nO76Pc2g&amp;avtc=1&amp;avte=4&amp;avts=1737730534&amp;keywords=%D0%93%D0%BD%D0%B5%D0%B7%D0%B4%D0%BE+%D0%BF%D0%B8%D1%82%D0%B0%D0%BD%D0%B8%D1%8F+DC-022" xr:uid="{658E0D71-ADD7-45A5-A3BF-444AC0EF721C}"/>
    <hyperlink ref="D21" r:id="rId5" xr:uid="{2E6C878B-9B5C-4419-8C3C-010C81FA5B80}"/>
    <hyperlink ref="D7" r:id="rId6" xr:uid="{CC76A148-82C6-4CB2-AF97-87B42CAB6440}"/>
    <hyperlink ref="D6" r:id="rId7" xr:uid="{E930051D-B3D0-45C3-BAC3-84072CEDDEDC}"/>
    <hyperlink ref="D13" r:id="rId8" xr:uid="{60FB3CFF-5744-4830-A807-3E96BC9054BD}"/>
    <hyperlink ref="D20" r:id="rId9" xr:uid="{7AB3811D-6BBE-4F3E-A19F-048B66976C4C}"/>
    <hyperlink ref="D17" r:id="rId10" xr:uid="{472EE5EC-3CFC-4DBB-AF7F-10D280F6F08B}"/>
    <hyperlink ref="D18" r:id="rId11" xr:uid="{3CDC55A8-77E5-47FD-9D78-8F474C21D70C}"/>
    <hyperlink ref="D5" r:id="rId12" xr:uid="{817C4DAC-93C8-43B2-B84D-2447F105884C}"/>
    <hyperlink ref="D22" r:id="rId13" xr:uid="{E259B8B3-DD81-4761-812A-89FAD53AE4B7}"/>
    <hyperlink ref="D23" r:id="rId14" xr:uid="{191A7838-5A50-4651-8BEF-8050B8FA29DB}"/>
    <hyperlink ref="D26" r:id="rId15" xr:uid="{C2D9EA26-A29D-4C9A-BA87-23C9C2316D3A}"/>
    <hyperlink ref="D30" r:id="rId16" xr:uid="{7F4EE4C3-9262-4849-8F11-1A1C13050371}"/>
    <hyperlink ref="D29" r:id="rId17" xr:uid="{1056885B-684A-46B2-A84A-FC6C98C3D6E4}"/>
    <hyperlink ref="D33" r:id="rId18" xr:uid="{787E2325-198C-49C3-8EFF-1AD88C1F8356}"/>
  </hyperlinks>
  <pageMargins left="0.25" right="0.25" top="0.75" bottom="0.75" header="0.3" footer="0.3"/>
  <pageSetup paperSize="9" scale="77" fitToWidth="0" fitToHeight="0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 Warai</cp:lastModifiedBy>
  <dcterms:created xsi:type="dcterms:W3CDTF">2025-01-24T15:12:35Z</dcterms:created>
  <dcterms:modified xsi:type="dcterms:W3CDTF">2026-10-21T16:14:52Z</dcterms:modified>
</cp:coreProperties>
</file>